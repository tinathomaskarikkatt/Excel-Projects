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9a6875284e17942/Documents/COACHX EXCEL CLASS/Excel Project details/"/>
    </mc:Choice>
  </mc:AlternateContent>
  <xr:revisionPtr revIDLastSave="788" documentId="11_0CAC69957E4917B4C170C3F9B1408EEF767E0C08" xr6:coauthVersionLast="47" xr6:coauthVersionMax="47" xr10:uidLastSave="{46E666F7-E1E7-4B3B-8A50-70925C6BE2F6}"/>
  <bookViews>
    <workbookView xWindow="-108" yWindow="-108" windowWidth="23256" windowHeight="12456" activeTab="2" xr2:uid="{00000000-000D-0000-FFFF-FFFF00000000}"/>
  </bookViews>
  <sheets>
    <sheet name="Depreciation Calculator" sheetId="1" r:id="rId1"/>
    <sheet name="Analysis" sheetId="3" r:id="rId2"/>
    <sheet name="Dashboard" sheetId="4" r:id="rId3"/>
  </sheets>
  <definedNames>
    <definedName name="AssetP">'Depreciation Calculator'!$D$8</definedName>
    <definedName name="AssetPrice">'Depreciation Calculator'!$D$8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8" i="1" l="1"/>
  <c r="B9" i="3"/>
  <c r="B3" i="3"/>
  <c r="B2" i="3"/>
  <c r="D20" i="1" l="1"/>
  <c r="D8" i="1"/>
  <c r="D23" i="1" l="1"/>
  <c r="B5" i="3" s="1"/>
  <c r="D11" i="1"/>
  <c r="D12" i="1" s="1"/>
  <c r="C26" i="1" l="1"/>
  <c r="D26" i="1" s="1"/>
  <c r="D13" i="1"/>
  <c r="D14" i="1" l="1"/>
  <c r="D15" i="1" l="1"/>
  <c r="B4" i="3"/>
  <c r="B6" i="3"/>
  <c r="C27" i="1"/>
  <c r="D27" i="1" l="1"/>
  <c r="C28" i="1" l="1"/>
  <c r="D28" i="1"/>
  <c r="C29" i="1" l="1"/>
  <c r="B7" i="3" s="1"/>
  <c r="C36" i="1"/>
  <c r="D37" i="1" s="1"/>
  <c r="D29" i="1" l="1"/>
  <c r="C37" i="1"/>
  <c r="D38" i="1" s="1"/>
  <c r="C30" i="1" l="1"/>
  <c r="D30" i="1" s="1"/>
  <c r="C38" i="1"/>
  <c r="D39" i="1" s="1"/>
  <c r="C31" i="1" l="1"/>
  <c r="D31" i="1" s="1"/>
  <c r="C39" i="1"/>
  <c r="D40" i="1" s="1"/>
  <c r="C32" i="1" l="1"/>
  <c r="D32" i="1" s="1"/>
  <c r="C40" i="1"/>
  <c r="D41" i="1" s="1"/>
  <c r="C33" i="1" l="1"/>
  <c r="D33" i="1"/>
  <c r="C41" i="1"/>
  <c r="D42" i="1" s="1"/>
  <c r="C34" i="1" l="1"/>
  <c r="D34" i="1"/>
  <c r="C42" i="1"/>
  <c r="D43" i="1" s="1"/>
  <c r="C35" i="1" l="1"/>
  <c r="B8" i="3" s="1"/>
  <c r="C43" i="1"/>
  <c r="D44" i="1" s="1"/>
  <c r="D35" i="1" l="1"/>
  <c r="C44" i="1"/>
  <c r="D45" i="1" s="1"/>
  <c r="C4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  <author>MD</author>
  </authors>
  <commentList>
    <comment ref="D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 case of no scrap value, please put zero value.</t>
        </r>
      </text>
    </comment>
    <comment ref="D15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Accuracy Check - This cell must be zero.</t>
        </r>
      </text>
    </comment>
    <comment ref="D2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 case of diminishing depreciation scrap value cannot be zero</t>
        </r>
      </text>
    </comment>
  </commentList>
</comments>
</file>

<file path=xl/sharedStrings.xml><?xml version="1.0" encoding="utf-8"?>
<sst xmlns="http://schemas.openxmlformats.org/spreadsheetml/2006/main" count="63" uniqueCount="43">
  <si>
    <t>Asset Price</t>
  </si>
  <si>
    <t>Scrap Value</t>
  </si>
  <si>
    <t>Estimated Life Span (Years)</t>
  </si>
  <si>
    <t>Book Value</t>
  </si>
  <si>
    <t>Depreciated Book Value After Its Life Span</t>
  </si>
  <si>
    <t>Total Depreciation For Its Life Span</t>
  </si>
  <si>
    <t>Balance Amount</t>
  </si>
  <si>
    <t>Year</t>
  </si>
  <si>
    <t>Depreciation / Year as per Straight Line Method</t>
  </si>
  <si>
    <t>Rate of Depreciation as per Diminishing Balance Method</t>
  </si>
  <si>
    <t>Asset Cost</t>
  </si>
  <si>
    <t>Depreciation Percentage</t>
  </si>
  <si>
    <t>Additonal Asset Cost</t>
  </si>
  <si>
    <t xml:space="preserve">Additonal Asset Cost </t>
  </si>
  <si>
    <t>Depreciation Schedule</t>
  </si>
  <si>
    <t>Diminishing Balance Method</t>
  </si>
  <si>
    <t>Straight Line Method</t>
  </si>
  <si>
    <t>Year on Year Depreciation Amount</t>
  </si>
  <si>
    <t>Coachx.live</t>
  </si>
  <si>
    <t>Annual Depreciation (SLM)</t>
  </si>
  <si>
    <t>Value</t>
  </si>
  <si>
    <t>Formula</t>
  </si>
  <si>
    <t xml:space="preserve"> (Asset Cost + Additional Costs − Scrap Value) / Lifespan</t>
  </si>
  <si>
    <t>(Asset Cost + Additional Costs − Scrap Value)</t>
  </si>
  <si>
    <t>Depreciated Book Value after life span</t>
  </si>
  <si>
    <t>Rate of Depreciation(DBM)</t>
  </si>
  <si>
    <t>Depreciation rate percentage</t>
  </si>
  <si>
    <t>Year 2's Depreciation amount</t>
  </si>
  <si>
    <t>Year 4's book value</t>
  </si>
  <si>
    <t>Book Value of Year3 - Year on Year Depreciation amount</t>
  </si>
  <si>
    <t xml:space="preserve">Book Value at start of Year2 * Rate of Depreciation </t>
  </si>
  <si>
    <t>Total depreciation (DBM)</t>
  </si>
  <si>
    <t>Total Depreciation(SLM)</t>
  </si>
  <si>
    <t>Book Value after lifespan</t>
  </si>
  <si>
    <t>sum of year on year depreciation</t>
  </si>
  <si>
    <t>Diminishing balance method has slightly higher depreciation value than SLM, It varies by almost $999.</t>
  </si>
  <si>
    <t xml:space="preserve"> Straight line method</t>
  </si>
  <si>
    <t>Depreciation in SLM</t>
  </si>
  <si>
    <t>Depreciation in DBM</t>
  </si>
  <si>
    <t xml:space="preserve"> Diminishing Balance Method</t>
  </si>
  <si>
    <t>Analysis Questions</t>
  </si>
  <si>
    <t>Asset Depreciation Analysis &amp; Calculator</t>
  </si>
  <si>
    <t>DEPRECIATION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</si>
</sst>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0_ ;[Red]\-[$$-409]#,##0.00\ "/>
    <numFmt numFmtId="165" formatCode="[$$-409]#,##0.00"/>
    <numFmt numFmtId="166" formatCode="[$$-409]#,##0.00;[Red][$$-409]#,##0.00"/>
    <numFmt numFmtId="167" formatCode="[$$-45C]#,##0.00;[Red][$$-45C]#,##0.00"/>
  </numFmts>
  <fonts count="1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9"/>
      <color indexed="81"/>
      <name val="Tahoma"/>
      <family val="2"/>
    </font>
    <font>
      <u/>
      <sz val="11"/>
      <color theme="10"/>
      <name val="Calibri"/>
      <family val="2"/>
    </font>
    <font>
      <sz val="14"/>
      <color theme="0"/>
      <name val="Times New Roman"/>
      <family val="1"/>
    </font>
    <font>
      <b/>
      <sz val="20"/>
      <color theme="0"/>
      <name val="Cambria"/>
      <family val="1"/>
      <scheme val="major"/>
    </font>
    <font>
      <b/>
      <sz val="14"/>
      <color theme="0"/>
      <name val="Times New Roman"/>
      <family val="1"/>
    </font>
    <font>
      <u/>
      <sz val="25"/>
      <color rgb="FFFFFF00"/>
      <name val="Lucida Calligraphy"/>
      <family val="4"/>
    </font>
    <font>
      <b/>
      <sz val="20"/>
      <color theme="0"/>
      <name val="Times New Roman"/>
      <family val="1"/>
    </font>
    <font>
      <b/>
      <sz val="18"/>
      <color theme="0"/>
      <name val="Times New Roman"/>
      <family val="1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3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0" fontId="0" fillId="0" borderId="0" xfId="0" applyNumberFormat="1"/>
    <xf numFmtId="0" fontId="10" fillId="0" borderId="0" xfId="0" applyFont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167" fontId="1" fillId="0" borderId="6" xfId="0" applyNumberFormat="1" applyFont="1" applyBorder="1" applyAlignment="1">
      <alignment horizontal="center" vertical="center"/>
    </xf>
    <xf numFmtId="0" fontId="0" fillId="5" borderId="0" xfId="0" applyFill="1"/>
    <xf numFmtId="0" fontId="13" fillId="0" borderId="0" xfId="0" applyFont="1"/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right" vertical="center" indent="4"/>
    </xf>
    <xf numFmtId="0" fontId="6" fillId="2" borderId="5" xfId="0" applyFont="1" applyFill="1" applyBorder="1" applyAlignment="1">
      <alignment horizontal="right" vertical="center" indent="4"/>
    </xf>
    <xf numFmtId="0" fontId="8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 indent="4"/>
    </xf>
    <xf numFmtId="0" fontId="7" fillId="2" borderId="1" xfId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right" vertical="center" wrapText="1" indent="4"/>
    </xf>
    <xf numFmtId="0" fontId="9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Book</a:t>
            </a:r>
            <a:r>
              <a:rPr lang="en-IN" b="1" baseline="0"/>
              <a:t> Value of DBM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'Depreciation Calculator'!$H$51</c:f>
              <c:strCache>
                <c:ptCount val="1"/>
                <c:pt idx="0">
                  <c:v>Book Value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'Depreciation Calculator'!$H$52:$H$61</c:f>
              <c:numCache>
                <c:formatCode>0.00</c:formatCode>
                <c:ptCount val="10"/>
                <c:pt idx="0">
                  <c:v>397164.11736214074</c:v>
                </c:pt>
                <c:pt idx="1">
                  <c:v>315478.67224009661</c:v>
                </c:pt>
                <c:pt idx="2">
                  <c:v>250593.61681363612</c:v>
                </c:pt>
                <c:pt idx="3">
                  <c:v>199053.58527674861</c:v>
                </c:pt>
                <c:pt idx="4">
                  <c:v>158113.88300841895</c:v>
                </c:pt>
                <c:pt idx="5">
                  <c:v>125594.321575479</c:v>
                </c:pt>
                <c:pt idx="6">
                  <c:v>99763.115748443975</c:v>
                </c:pt>
                <c:pt idx="7">
                  <c:v>79244.659623055661</c:v>
                </c:pt>
                <c:pt idx="8">
                  <c:v>62946.270589708351</c:v>
                </c:pt>
                <c:pt idx="9">
                  <c:v>49999.999999999993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4E-442A-91B3-9B9FA0A1A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8351808"/>
        <c:axId val="4383522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'Depreciation Calculator'!$G$51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'Depreciation Calculator'!$G$52:$G$61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64E-442A-91B3-9B9FA0A1A7BA}"/>
                  </c:ext>
                </c:extLst>
              </c15:ser>
            </c15:filteredLineSeries>
          </c:ext>
        </c:extLst>
      </c:lineChart>
      <c:catAx>
        <c:axId val="438351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52288"/>
        <c:crosses val="autoZero"/>
        <c:auto val="1"/>
        <c:lblAlgn val="ctr"/>
        <c:lblOffset val="100"/>
        <c:noMultiLvlLbl val="0"/>
      </c:catAx>
      <c:valAx>
        <c:axId val="43835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5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SLM</a:t>
            </a:r>
            <a:r>
              <a:rPr lang="en-IN" b="1" baseline="0"/>
              <a:t> vs DBM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'Depreciation Calculator'!$H$34</c:f>
              <c:strCache>
                <c:ptCount val="1"/>
                <c:pt idx="0">
                  <c:v>Depreciation in SLM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'Depreciation Calculator'!$H$35:$H$44</c:f>
              <c:numCache>
                <c:formatCode>[$$-45C]#,##0.00;[Red][$$-45C]#,##0.00</c:formatCode>
                <c:ptCount val="10"/>
                <c:pt idx="0">
                  <c:v>45000</c:v>
                </c:pt>
                <c:pt idx="1">
                  <c:v>45000</c:v>
                </c:pt>
                <c:pt idx="2">
                  <c:v>45000</c:v>
                </c:pt>
                <c:pt idx="3">
                  <c:v>45000</c:v>
                </c:pt>
                <c:pt idx="4">
                  <c:v>45000</c:v>
                </c:pt>
                <c:pt idx="5">
                  <c:v>45000</c:v>
                </c:pt>
                <c:pt idx="6">
                  <c:v>45000</c:v>
                </c:pt>
                <c:pt idx="7">
                  <c:v>45000</c:v>
                </c:pt>
                <c:pt idx="8">
                  <c:v>45000</c:v>
                </c:pt>
                <c:pt idx="9">
                  <c:v>45000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71-45D6-8539-D3AF1FBDADC8}"/>
            </c:ext>
          </c:extLst>
        </c:ser>
        <c:ser>
          <c:idx val="2"/>
          <c:order val="2"/>
          <c:tx>
            <c:strRef>
              <c:f>'Depreciation Calculator'!$I$34</c:f>
              <c:strCache>
                <c:ptCount val="1"/>
                <c:pt idx="0">
                  <c:v>Depreciation in DBM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'Depreciation Calculator'!$I$35:$I$44</c:f>
              <c:numCache>
                <c:formatCode>[$$-45C]#,##0.00;[Red][$$-45C]#,##0.00</c:formatCode>
                <c:ptCount val="10"/>
                <c:pt idx="0">
                  <c:v>102835.88263785925</c:v>
                </c:pt>
                <c:pt idx="1">
                  <c:v>81685.445122044126</c:v>
                </c:pt>
                <c:pt idx="2">
                  <c:v>64885.05542646048</c:v>
                </c:pt>
                <c:pt idx="3">
                  <c:v>51540.031536887516</c:v>
                </c:pt>
                <c:pt idx="4">
                  <c:v>40939.70226832966</c:v>
                </c:pt>
                <c:pt idx="5">
                  <c:v>32519.561432939961</c:v>
                </c:pt>
                <c:pt idx="6">
                  <c:v>25831.205827035024</c:v>
                </c:pt>
                <c:pt idx="7">
                  <c:v>20518.456125388308</c:v>
                </c:pt>
                <c:pt idx="8">
                  <c:v>16298.389033347312</c:v>
                </c:pt>
                <c:pt idx="9">
                  <c:v>12946.27058970836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71-45D6-8539-D3AF1FBDA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3264191"/>
        <c:axId val="163326467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'Depreciation Calculator'!$G$34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'Depreciation Calculator'!$G$35:$G$44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071-45D6-8539-D3AF1FBDADC8}"/>
                  </c:ext>
                </c:extLst>
              </c15:ser>
            </c15:filteredLineSeries>
          </c:ext>
        </c:extLst>
      </c:lineChart>
      <c:catAx>
        <c:axId val="1633264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264671"/>
        <c:crosses val="autoZero"/>
        <c:auto val="1"/>
        <c:lblAlgn val="ctr"/>
        <c:lblOffset val="100"/>
        <c:noMultiLvlLbl val="0"/>
      </c:catAx>
      <c:valAx>
        <c:axId val="163326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numFmt formatCode="[$$-45C]#,##0.00;[Red][$$-45C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26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Depreciation in SLM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'Depreciation Calculator'!$L$3</c:f>
              <c:strCache>
                <c:ptCount val="1"/>
                <c:pt idx="0">
                  <c:v>Depreciation in SLM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'Depreciation Calculator'!$L$4:$L$13</c:f>
              <c:numCache>
                <c:formatCode>[$$-45C]#,##0.00;[Red][$$-45C]#,##0.00</c:formatCode>
                <c:ptCount val="10"/>
                <c:pt idx="0">
                  <c:v>45000</c:v>
                </c:pt>
                <c:pt idx="1">
                  <c:v>45000</c:v>
                </c:pt>
                <c:pt idx="2">
                  <c:v>45000</c:v>
                </c:pt>
                <c:pt idx="3">
                  <c:v>45000</c:v>
                </c:pt>
                <c:pt idx="4">
                  <c:v>45000</c:v>
                </c:pt>
                <c:pt idx="5">
                  <c:v>45000</c:v>
                </c:pt>
                <c:pt idx="6">
                  <c:v>45000</c:v>
                </c:pt>
                <c:pt idx="7">
                  <c:v>45000</c:v>
                </c:pt>
                <c:pt idx="8">
                  <c:v>45000</c:v>
                </c:pt>
                <c:pt idx="9">
                  <c:v>45000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91-4409-8CC2-6ABE3D680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7088095"/>
        <c:axId val="17970832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'Depreciation Calculator'!$K$3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'Depreciation Calculator'!$K$4:$K$13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491-4409-8CC2-6ABE3D6802A6}"/>
                  </c:ext>
                </c:extLst>
              </c15:ser>
            </c15:filteredLineSeries>
          </c:ext>
        </c:extLst>
      </c:lineChart>
      <c:catAx>
        <c:axId val="1797088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083295"/>
        <c:crosses val="autoZero"/>
        <c:auto val="1"/>
        <c:lblAlgn val="ctr"/>
        <c:lblOffset val="100"/>
        <c:noMultiLvlLbl val="0"/>
      </c:catAx>
      <c:valAx>
        <c:axId val="179708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aseline="0"/>
                  <a:t>SLM  Depreciation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[$$-45C]#,##0.00;[Red][$$-45C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08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           Depreciation in DBM</a:t>
            </a:r>
          </a:p>
        </c:rich>
      </c:tx>
      <c:layout>
        <c:manualLayout>
          <c:xMode val="edge"/>
          <c:yMode val="edge"/>
          <c:x val="0.28228837946240026"/>
          <c:y val="3.3906133405951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'Depreciation Calculator'!$L$18</c:f>
              <c:strCache>
                <c:ptCount val="1"/>
                <c:pt idx="0">
                  <c:v>Depreciation in DBM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'Depreciation Calculator'!$L$19:$L$28</c:f>
              <c:numCache>
                <c:formatCode>[$$-45C]#,##0.00;[Red][$$-45C]#,##0.00</c:formatCode>
                <c:ptCount val="10"/>
                <c:pt idx="0">
                  <c:v>102835.88263785925</c:v>
                </c:pt>
                <c:pt idx="1">
                  <c:v>81685.445122044126</c:v>
                </c:pt>
                <c:pt idx="2">
                  <c:v>64885.05542646048</c:v>
                </c:pt>
                <c:pt idx="3">
                  <c:v>51540.031536887516</c:v>
                </c:pt>
                <c:pt idx="4">
                  <c:v>40939.70226832966</c:v>
                </c:pt>
                <c:pt idx="5">
                  <c:v>32519.561432939961</c:v>
                </c:pt>
                <c:pt idx="6">
                  <c:v>25831.205827035024</c:v>
                </c:pt>
                <c:pt idx="7">
                  <c:v>20518.456125388308</c:v>
                </c:pt>
                <c:pt idx="8">
                  <c:v>16298.389033347312</c:v>
                </c:pt>
                <c:pt idx="9">
                  <c:v>12946.27058970836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60-4352-8F4C-89C5C123B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9827711"/>
        <c:axId val="18298267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'Depreciation Calculator'!$K$18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'Depreciation Calculator'!$K$19:$K$28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560-4352-8F4C-89C5C123B6AD}"/>
                  </c:ext>
                </c:extLst>
              </c15:ser>
            </c15:filteredLineSeries>
          </c:ext>
        </c:extLst>
      </c:lineChart>
      <c:catAx>
        <c:axId val="1829827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826751"/>
        <c:crosses val="autoZero"/>
        <c:auto val="1"/>
        <c:lblAlgn val="ctr"/>
        <c:lblOffset val="100"/>
        <c:noMultiLvlLbl val="0"/>
      </c:catAx>
      <c:valAx>
        <c:axId val="182982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DBM</a:t>
                </a:r>
                <a:r>
                  <a:rPr lang="en-IN" baseline="0"/>
                  <a:t> Depreciation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[$$-45C]#,##0.00;[Red][$$-45C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827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Book</a:t>
            </a:r>
            <a:r>
              <a:rPr lang="en-IN" b="1" baseline="0"/>
              <a:t> Value of DBM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'Depreciation Calculator'!$H$51</c:f>
              <c:strCache>
                <c:ptCount val="1"/>
                <c:pt idx="0">
                  <c:v>Book Value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'Depreciation Calculator'!$H$52:$H$61</c:f>
              <c:numCache>
                <c:formatCode>0.00</c:formatCode>
                <c:ptCount val="10"/>
                <c:pt idx="0">
                  <c:v>397164.11736214074</c:v>
                </c:pt>
                <c:pt idx="1">
                  <c:v>315478.67224009661</c:v>
                </c:pt>
                <c:pt idx="2">
                  <c:v>250593.61681363612</c:v>
                </c:pt>
                <c:pt idx="3">
                  <c:v>199053.58527674861</c:v>
                </c:pt>
                <c:pt idx="4">
                  <c:v>158113.88300841895</c:v>
                </c:pt>
                <c:pt idx="5">
                  <c:v>125594.321575479</c:v>
                </c:pt>
                <c:pt idx="6">
                  <c:v>99763.115748443975</c:v>
                </c:pt>
                <c:pt idx="7">
                  <c:v>79244.659623055661</c:v>
                </c:pt>
                <c:pt idx="8">
                  <c:v>62946.270589708351</c:v>
                </c:pt>
                <c:pt idx="9">
                  <c:v>49999.999999999993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0F-44AA-A9BF-CF6F5EDEB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8351808"/>
        <c:axId val="4383522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'Depreciation Calculator'!$G$51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'Depreciation Calculator'!$G$52:$G$61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40F-44AA-A9BF-CF6F5EDEBE19}"/>
                  </c:ext>
                </c:extLst>
              </c15:ser>
            </c15:filteredLineSeries>
          </c:ext>
        </c:extLst>
      </c:lineChart>
      <c:catAx>
        <c:axId val="438351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52288"/>
        <c:crosses val="autoZero"/>
        <c:auto val="1"/>
        <c:lblAlgn val="ctr"/>
        <c:lblOffset val="100"/>
        <c:noMultiLvlLbl val="0"/>
      </c:catAx>
      <c:valAx>
        <c:axId val="43835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5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161926</xdr:colOff>
      <xdr:row>24</xdr:row>
      <xdr:rowOff>247651</xdr:rowOff>
    </xdr:from>
    <xdr:to>
      <xdr:col>10</xdr:col>
      <xdr:colOff>333376</xdr:colOff>
      <xdr:row>25</xdr:row>
      <xdr:rowOff>66676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934701" y="6686551"/>
          <a:ext cx="171450" cy="76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</xdr:txBody>
    </xdr:sp>
    <xdr:clientData/>
  </xdr:twoCellAnchor>
  <xdr:twoCellAnchor>
    <xdr:from>
      <xdr:col>6</xdr:col>
      <xdr:colOff>161926</xdr:colOff>
      <xdr:row>40</xdr:row>
      <xdr:rowOff>247651</xdr:rowOff>
    </xdr:from>
    <xdr:to>
      <xdr:col>6</xdr:col>
      <xdr:colOff>333376</xdr:colOff>
      <xdr:row>41</xdr:row>
      <xdr:rowOff>66676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96547BA-2D83-4389-A09D-1069F652E17E}"/>
            </a:ext>
          </a:extLst>
        </xdr:cNvPr>
        <xdr:cNvSpPr txBox="1"/>
      </xdr:nvSpPr>
      <xdr:spPr>
        <a:xfrm>
          <a:off x="17630417" y="6494182"/>
          <a:ext cx="171450" cy="710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</xdr:txBody>
    </xdr:sp>
    <xdr:clientData/>
  </xdr:twoCellAnchor>
  <xdr:twoCellAnchor>
    <xdr:from>
      <xdr:col>9</xdr:col>
      <xdr:colOff>1702320</xdr:colOff>
      <xdr:row>49</xdr:row>
      <xdr:rowOff>135776</xdr:rowOff>
    </xdr:from>
    <xdr:to>
      <xdr:col>15</xdr:col>
      <xdr:colOff>156575</xdr:colOff>
      <xdr:row>61</xdr:row>
      <xdr:rowOff>28531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C563C1-447A-FECA-A536-292E765B97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495655</xdr:colOff>
      <xdr:row>3</xdr:row>
      <xdr:rowOff>166399</xdr:rowOff>
    </xdr:from>
    <xdr:to>
      <xdr:col>10</xdr:col>
      <xdr:colOff>512667</xdr:colOff>
      <xdr:row>15</xdr:row>
      <xdr:rowOff>166399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C78F91-2AED-4720-982A-93068FB446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88605</xdr:colOff>
      <xdr:row>3</xdr:row>
      <xdr:rowOff>167640</xdr:rowOff>
    </xdr:from>
    <xdr:to>
      <xdr:col>19</xdr:col>
      <xdr:colOff>126705</xdr:colOff>
      <xdr:row>16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6672C2-92B6-49FF-BB7B-A6F973B6AD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487327</xdr:colOff>
      <xdr:row>16</xdr:row>
      <xdr:rowOff>132906</xdr:rowOff>
    </xdr:from>
    <xdr:to>
      <xdr:col>10</xdr:col>
      <xdr:colOff>522238</xdr:colOff>
      <xdr:row>29</xdr:row>
      <xdr:rowOff>150628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138EEF-9923-45AC-966D-87447D463C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97465</xdr:colOff>
      <xdr:row>16</xdr:row>
      <xdr:rowOff>150627</xdr:rowOff>
    </xdr:from>
    <xdr:to>
      <xdr:col>19</xdr:col>
      <xdr:colOff>177209</xdr:colOff>
      <xdr:row>29</xdr:row>
      <xdr:rowOff>177209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06BCF7-C3E4-42B4-8EA3-4096ADAC0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2"/>
  <sheetViews>
    <sheetView topLeftCell="F34" zoomScale="73" zoomScaleNormal="96" workbookViewId="0">
      <selection activeCell="C4" sqref="C4"/>
    </sheetView>
  </sheetViews>
  <sheetFormatPr defaultColWidth="8.6640625" defaultRowHeight="18" x14ac:dyDescent="0.3"/>
  <cols>
    <col min="1" max="1" width="3.109375" style="1" customWidth="1"/>
    <col min="2" max="2" width="12.5546875" style="1" customWidth="1"/>
    <col min="3" max="3" width="79.88671875" style="1" customWidth="1"/>
    <col min="4" max="4" width="19.109375" style="1" bestFit="1" customWidth="1"/>
    <col min="5" max="5" width="3.33203125" style="1" customWidth="1"/>
    <col min="6" max="6" width="8.6640625" style="1" customWidth="1"/>
    <col min="7" max="7" width="24.5546875" style="1" customWidth="1"/>
    <col min="8" max="8" width="44.77734375" style="1" customWidth="1"/>
    <col min="9" max="9" width="27.77734375" style="1" customWidth="1"/>
    <col min="10" max="10" width="30.88671875" style="1" customWidth="1"/>
    <col min="11" max="11" width="18.21875" style="1" customWidth="1"/>
    <col min="12" max="12" width="29.6640625" style="1" customWidth="1"/>
    <col min="13" max="16384" width="8.6640625" style="1"/>
  </cols>
  <sheetData>
    <row r="1" spans="1:12" ht="9.9" customHeight="1" thickBot="1" x14ac:dyDescent="0.35">
      <c r="A1" s="9"/>
      <c r="B1" s="9"/>
      <c r="C1" s="9"/>
      <c r="D1" s="9"/>
      <c r="E1" s="9"/>
    </row>
    <row r="2" spans="1:12" ht="37.799999999999997" thickTop="1" thickBot="1" x14ac:dyDescent="0.35">
      <c r="A2" s="9"/>
      <c r="B2" s="32"/>
      <c r="C2" s="30" t="s">
        <v>18</v>
      </c>
      <c r="D2" s="30"/>
      <c r="E2" s="9"/>
    </row>
    <row r="3" spans="1:12" ht="25.8" thickTop="1" thickBot="1" x14ac:dyDescent="0.35">
      <c r="A3" s="9"/>
      <c r="B3" s="33"/>
      <c r="C3" s="31" t="s">
        <v>41</v>
      </c>
      <c r="D3" s="31"/>
      <c r="E3" s="9"/>
      <c r="G3" s="25" t="s">
        <v>36</v>
      </c>
      <c r="H3" s="25"/>
      <c r="I3" s="25"/>
      <c r="K3" s="18" t="s">
        <v>7</v>
      </c>
      <c r="L3" s="18" t="s">
        <v>37</v>
      </c>
    </row>
    <row r="4" spans="1:12" ht="24" thickTop="1" thickBot="1" x14ac:dyDescent="0.35">
      <c r="A4" s="9"/>
      <c r="B4" s="5"/>
      <c r="C4" s="5"/>
      <c r="D4" s="5"/>
      <c r="E4" s="9"/>
      <c r="G4" s="25" t="s">
        <v>14</v>
      </c>
      <c r="H4" s="25"/>
      <c r="I4" s="25"/>
      <c r="K4" s="18">
        <v>1</v>
      </c>
      <c r="L4" s="20">
        <v>45000</v>
      </c>
    </row>
    <row r="5" spans="1:12" ht="25.8" thickTop="1" thickBot="1" x14ac:dyDescent="0.35">
      <c r="A5" s="9"/>
      <c r="B5" s="28" t="s">
        <v>16</v>
      </c>
      <c r="C5" s="28"/>
      <c r="D5" s="28"/>
      <c r="E5" s="9"/>
      <c r="G5" s="17" t="s">
        <v>7</v>
      </c>
      <c r="H5" s="17" t="s">
        <v>17</v>
      </c>
      <c r="I5" s="17" t="s">
        <v>3</v>
      </c>
      <c r="K5" s="18">
        <v>2</v>
      </c>
      <c r="L5" s="20">
        <v>45000</v>
      </c>
    </row>
    <row r="6" spans="1:12" ht="19.2" thickTop="1" thickBot="1" x14ac:dyDescent="0.35">
      <c r="A6" s="9"/>
      <c r="B6" s="26" t="s">
        <v>10</v>
      </c>
      <c r="C6" s="27"/>
      <c r="D6" s="10">
        <v>450000</v>
      </c>
      <c r="E6" s="9"/>
      <c r="G6" s="18">
        <v>1</v>
      </c>
      <c r="H6" s="18">
        <v>45000</v>
      </c>
      <c r="I6" s="18">
        <v>455000</v>
      </c>
      <c r="K6" s="18">
        <v>3</v>
      </c>
      <c r="L6" s="20">
        <v>45000</v>
      </c>
    </row>
    <row r="7" spans="1:12" ht="19.2" thickTop="1" thickBot="1" x14ac:dyDescent="0.35">
      <c r="A7" s="9"/>
      <c r="B7" s="26" t="s">
        <v>12</v>
      </c>
      <c r="C7" s="27"/>
      <c r="D7" s="10">
        <v>50000</v>
      </c>
      <c r="E7" s="9"/>
      <c r="G7" s="18">
        <v>2</v>
      </c>
      <c r="H7" s="18">
        <v>45000</v>
      </c>
      <c r="I7" s="18">
        <v>410000</v>
      </c>
      <c r="K7" s="18">
        <v>4</v>
      </c>
      <c r="L7" s="20">
        <v>45000</v>
      </c>
    </row>
    <row r="8" spans="1:12" ht="19.2" thickTop="1" thickBot="1" x14ac:dyDescent="0.35">
      <c r="A8" s="9"/>
      <c r="B8" s="26" t="s">
        <v>0</v>
      </c>
      <c r="C8" s="27"/>
      <c r="D8" s="4">
        <f>SUM(D6,D7)</f>
        <v>500000</v>
      </c>
      <c r="E8" s="9"/>
      <c r="G8" s="18">
        <v>3</v>
      </c>
      <c r="H8" s="18">
        <v>45000</v>
      </c>
      <c r="I8" s="18">
        <v>365000</v>
      </c>
      <c r="K8" s="18">
        <v>5</v>
      </c>
      <c r="L8" s="20">
        <v>45000</v>
      </c>
    </row>
    <row r="9" spans="1:12" ht="19.2" thickTop="1" thickBot="1" x14ac:dyDescent="0.35">
      <c r="A9" s="9"/>
      <c r="B9" s="26" t="s">
        <v>1</v>
      </c>
      <c r="C9" s="27"/>
      <c r="D9" s="10">
        <v>50000</v>
      </c>
      <c r="E9" s="9"/>
      <c r="G9" s="18">
        <v>4</v>
      </c>
      <c r="H9" s="18">
        <v>45000</v>
      </c>
      <c r="I9" s="18">
        <v>320000</v>
      </c>
      <c r="K9" s="18">
        <v>6</v>
      </c>
      <c r="L9" s="20">
        <v>45000</v>
      </c>
    </row>
    <row r="10" spans="1:12" ht="19.2" thickTop="1" thickBot="1" x14ac:dyDescent="0.35">
      <c r="A10" s="9"/>
      <c r="B10" s="26" t="s">
        <v>2</v>
      </c>
      <c r="C10" s="27"/>
      <c r="D10" s="11">
        <v>10</v>
      </c>
      <c r="E10" s="9"/>
      <c r="G10" s="18">
        <v>5</v>
      </c>
      <c r="H10" s="18">
        <v>45000</v>
      </c>
      <c r="I10" s="18">
        <v>275000</v>
      </c>
      <c r="K10" s="18">
        <v>7</v>
      </c>
      <c r="L10" s="20">
        <v>45000</v>
      </c>
    </row>
    <row r="11" spans="1:12" ht="19.2" thickTop="1" thickBot="1" x14ac:dyDescent="0.35">
      <c r="A11" s="9"/>
      <c r="B11" s="29" t="s">
        <v>8</v>
      </c>
      <c r="C11" s="29"/>
      <c r="D11" s="4">
        <f>IF(D8="", "", SLN($D$8,$D$9,$D$10))</f>
        <v>45000</v>
      </c>
      <c r="E11" s="9"/>
      <c r="G11" s="18">
        <v>6</v>
      </c>
      <c r="H11" s="18">
        <v>45000</v>
      </c>
      <c r="I11" s="18">
        <v>230000</v>
      </c>
      <c r="K11" s="18">
        <v>8</v>
      </c>
      <c r="L11" s="20">
        <v>45000</v>
      </c>
    </row>
    <row r="12" spans="1:12" ht="19.2" thickTop="1" thickBot="1" x14ac:dyDescent="0.35">
      <c r="A12" s="9"/>
      <c r="B12" s="29" t="s">
        <v>11</v>
      </c>
      <c r="C12" s="29"/>
      <c r="D12" s="6">
        <f>IFERROR(D11/D8,"")</f>
        <v>0.09</v>
      </c>
      <c r="E12" s="9"/>
      <c r="G12" s="18">
        <v>7</v>
      </c>
      <c r="H12" s="18">
        <v>45000</v>
      </c>
      <c r="I12" s="18">
        <v>185000</v>
      </c>
      <c r="K12" s="18">
        <v>9</v>
      </c>
      <c r="L12" s="20">
        <v>45000</v>
      </c>
    </row>
    <row r="13" spans="1:12" ht="19.2" thickTop="1" thickBot="1" x14ac:dyDescent="0.35">
      <c r="A13" s="9"/>
      <c r="B13" s="26" t="s">
        <v>5</v>
      </c>
      <c r="C13" s="27"/>
      <c r="D13" s="3">
        <f>IF(D8="", "", D11*D10)</f>
        <v>450000</v>
      </c>
      <c r="E13" s="9"/>
      <c r="G13" s="18">
        <v>8</v>
      </c>
      <c r="H13" s="18">
        <v>45000</v>
      </c>
      <c r="I13" s="18">
        <v>140000</v>
      </c>
      <c r="K13" s="18">
        <v>10</v>
      </c>
      <c r="L13" s="20">
        <v>45000</v>
      </c>
    </row>
    <row r="14" spans="1:12" ht="19.2" thickTop="1" thickBot="1" x14ac:dyDescent="0.35">
      <c r="A14" s="9"/>
      <c r="B14" s="26" t="s">
        <v>4</v>
      </c>
      <c r="C14" s="27"/>
      <c r="D14" s="3">
        <f>IF(D8="", "", D8-D13)</f>
        <v>50000</v>
      </c>
      <c r="E14" s="9"/>
      <c r="G14" s="18">
        <v>9</v>
      </c>
      <c r="H14" s="18">
        <v>45000</v>
      </c>
      <c r="I14" s="18">
        <v>95000</v>
      </c>
    </row>
    <row r="15" spans="1:12" ht="19.2" thickTop="1" thickBot="1" x14ac:dyDescent="0.35">
      <c r="A15" s="9"/>
      <c r="B15" s="26" t="s">
        <v>6</v>
      </c>
      <c r="C15" s="27"/>
      <c r="D15" s="3">
        <f>IF(D8="", "", D9-D14)</f>
        <v>0</v>
      </c>
      <c r="E15" s="9"/>
      <c r="G15" s="18">
        <v>10</v>
      </c>
      <c r="H15" s="18">
        <v>45000</v>
      </c>
      <c r="I15" s="18">
        <v>50000</v>
      </c>
    </row>
    <row r="16" spans="1:12" ht="19.2" thickTop="1" thickBot="1" x14ac:dyDescent="0.35">
      <c r="A16" s="9"/>
      <c r="B16" s="5"/>
      <c r="C16" s="5"/>
      <c r="D16" s="5"/>
      <c r="E16" s="9"/>
    </row>
    <row r="17" spans="1:12" ht="25.8" thickTop="1" thickBot="1" x14ac:dyDescent="0.35">
      <c r="A17" s="9"/>
      <c r="B17" s="28" t="s">
        <v>15</v>
      </c>
      <c r="C17" s="28"/>
      <c r="D17" s="28"/>
      <c r="E17" s="9"/>
    </row>
    <row r="18" spans="1:12" ht="18.899999999999999" customHeight="1" thickTop="1" thickBot="1" x14ac:dyDescent="0.35">
      <c r="A18" s="9"/>
      <c r="B18" s="29" t="s">
        <v>10</v>
      </c>
      <c r="C18" s="29"/>
      <c r="D18" s="10">
        <v>450000</v>
      </c>
      <c r="E18" s="9"/>
      <c r="G18" s="25" t="s">
        <v>39</v>
      </c>
      <c r="H18" s="25"/>
      <c r="I18" s="25"/>
      <c r="K18" s="18" t="s">
        <v>7</v>
      </c>
      <c r="L18" s="18" t="s">
        <v>38</v>
      </c>
    </row>
    <row r="19" spans="1:12" ht="18.899999999999999" customHeight="1" thickTop="1" thickBot="1" x14ac:dyDescent="0.35">
      <c r="A19" s="9"/>
      <c r="B19" s="29" t="s">
        <v>13</v>
      </c>
      <c r="C19" s="29"/>
      <c r="D19" s="10">
        <v>50000</v>
      </c>
      <c r="E19" s="9"/>
      <c r="G19" s="25" t="s">
        <v>14</v>
      </c>
      <c r="H19" s="25"/>
      <c r="I19" s="25"/>
      <c r="K19" s="18">
        <v>1</v>
      </c>
      <c r="L19" s="20">
        <v>102835.88263785925</v>
      </c>
    </row>
    <row r="20" spans="1:12" ht="18.899999999999999" customHeight="1" thickTop="1" thickBot="1" x14ac:dyDescent="0.35">
      <c r="A20" s="9"/>
      <c r="B20" s="29" t="s">
        <v>0</v>
      </c>
      <c r="C20" s="29"/>
      <c r="D20" s="4">
        <f>SUM(D18,D19)</f>
        <v>500000</v>
      </c>
      <c r="E20" s="9"/>
      <c r="G20" s="17" t="s">
        <v>7</v>
      </c>
      <c r="H20" s="17" t="s">
        <v>17</v>
      </c>
      <c r="I20" s="17" t="s">
        <v>3</v>
      </c>
      <c r="K20" s="18">
        <v>2</v>
      </c>
      <c r="L20" s="20">
        <v>81685.445122044126</v>
      </c>
    </row>
    <row r="21" spans="1:12" ht="18.899999999999999" customHeight="1" thickTop="1" thickBot="1" x14ac:dyDescent="0.35">
      <c r="A21" s="9"/>
      <c r="B21" s="29" t="s">
        <v>1</v>
      </c>
      <c r="C21" s="29"/>
      <c r="D21" s="10">
        <v>50000</v>
      </c>
      <c r="E21" s="9"/>
      <c r="G21" s="18">
        <v>1</v>
      </c>
      <c r="H21" s="19">
        <v>102835.88263785925</v>
      </c>
      <c r="I21" s="19">
        <v>397164.11736214074</v>
      </c>
      <c r="K21" s="18">
        <v>3</v>
      </c>
      <c r="L21" s="20">
        <v>64885.05542646048</v>
      </c>
    </row>
    <row r="22" spans="1:12" ht="18.899999999999999" customHeight="1" thickTop="1" thickBot="1" x14ac:dyDescent="0.35">
      <c r="A22" s="9"/>
      <c r="B22" s="29" t="s">
        <v>2</v>
      </c>
      <c r="C22" s="29"/>
      <c r="D22" s="11">
        <v>10</v>
      </c>
      <c r="E22" s="9"/>
      <c r="G22" s="18">
        <v>2</v>
      </c>
      <c r="H22" s="19">
        <v>81685.445122044097</v>
      </c>
      <c r="I22" s="19">
        <v>315478.67224009661</v>
      </c>
      <c r="K22" s="18">
        <v>4</v>
      </c>
      <c r="L22" s="20">
        <v>51540.031536887516</v>
      </c>
    </row>
    <row r="23" spans="1:12" ht="18.899999999999999" customHeight="1" thickTop="1" thickBot="1" x14ac:dyDescent="0.35">
      <c r="A23" s="9"/>
      <c r="B23" s="35" t="s">
        <v>9</v>
      </c>
      <c r="C23" s="35"/>
      <c r="D23" s="6">
        <f>IF(D20="","",1-(D21/D20)^(1/D22))</f>
        <v>0.20567176527571851</v>
      </c>
      <c r="E23" s="9"/>
      <c r="G23" s="18">
        <v>3</v>
      </c>
      <c r="H23" s="19">
        <v>64885.05542646048</v>
      </c>
      <c r="I23" s="19">
        <v>250593.61681363612</v>
      </c>
      <c r="K23" s="18">
        <v>5</v>
      </c>
      <c r="L23" s="20">
        <v>40939.70226832966</v>
      </c>
    </row>
    <row r="24" spans="1:12" ht="24" thickTop="1" thickBot="1" x14ac:dyDescent="0.35">
      <c r="A24" s="9"/>
      <c r="B24" s="36" t="s">
        <v>14</v>
      </c>
      <c r="C24" s="36"/>
      <c r="D24" s="36"/>
      <c r="E24" s="9"/>
      <c r="G24" s="18">
        <v>4</v>
      </c>
      <c r="H24" s="19">
        <v>51540.031536887516</v>
      </c>
      <c r="I24" s="19">
        <v>199053.58527674861</v>
      </c>
      <c r="K24" s="18">
        <v>6</v>
      </c>
      <c r="L24" s="20">
        <v>32519.561432939961</v>
      </c>
    </row>
    <row r="25" spans="1:12" ht="19.2" thickTop="1" thickBot="1" x14ac:dyDescent="0.35">
      <c r="A25" s="9"/>
      <c r="B25" s="7" t="s">
        <v>7</v>
      </c>
      <c r="C25" s="7" t="s">
        <v>17</v>
      </c>
      <c r="D25" s="7" t="s">
        <v>3</v>
      </c>
      <c r="E25" s="9"/>
      <c r="G25" s="18">
        <v>5</v>
      </c>
      <c r="H25" s="19">
        <v>40939.70226832966</v>
      </c>
      <c r="I25" s="19">
        <v>158113.88300841895</v>
      </c>
      <c r="K25" s="18">
        <v>7</v>
      </c>
      <c r="L25" s="20">
        <v>25831.205827035024</v>
      </c>
    </row>
    <row r="26" spans="1:12" ht="19.2" thickTop="1" thickBot="1" x14ac:dyDescent="0.35">
      <c r="A26" s="9"/>
      <c r="B26" s="2">
        <v>1</v>
      </c>
      <c r="C26" s="8">
        <f>IFERROR(IF(D20&gt;$D$21, D20*$D$23, ""), "")</f>
        <v>102835.88263785925</v>
      </c>
      <c r="D26" s="14">
        <f>D20-C26</f>
        <v>397164.11736214074</v>
      </c>
      <c r="E26" s="9"/>
      <c r="G26" s="18">
        <v>6</v>
      </c>
      <c r="H26" s="19">
        <v>32519.561432939961</v>
      </c>
      <c r="I26" s="19">
        <v>125594.321575479</v>
      </c>
      <c r="K26" s="18">
        <v>8</v>
      </c>
      <c r="L26" s="20">
        <v>20518.456125388308</v>
      </c>
    </row>
    <row r="27" spans="1:12" ht="19.2" thickTop="1" thickBot="1" x14ac:dyDescent="0.35">
      <c r="A27" s="9"/>
      <c r="B27" s="2">
        <v>2</v>
      </c>
      <c r="C27" s="8">
        <f>IFERROR(IF(D26&gt;$D$21, D26*$D$23, ""), "")</f>
        <v>81685.445122044126</v>
      </c>
      <c r="D27" s="14">
        <f t="shared" ref="D27:D32" si="0">IFERROR(D26-C27, "")</f>
        <v>315478.67224009661</v>
      </c>
      <c r="E27" s="9"/>
      <c r="G27" s="18">
        <v>7</v>
      </c>
      <c r="H27" s="19">
        <v>25831.205827035024</v>
      </c>
      <c r="I27" s="19">
        <v>99763.115748443975</v>
      </c>
      <c r="K27" s="18">
        <v>9</v>
      </c>
      <c r="L27" s="20">
        <v>16298.389033347312</v>
      </c>
    </row>
    <row r="28" spans="1:12" ht="19.2" thickTop="1" thickBot="1" x14ac:dyDescent="0.35">
      <c r="A28" s="9"/>
      <c r="B28" s="2">
        <v>3</v>
      </c>
      <c r="C28" s="8">
        <f>IFERROR(IF(D27&gt;$D$21, (D27*$D$23), ""),"")</f>
        <v>64885.05542646048</v>
      </c>
      <c r="D28" s="14">
        <f t="shared" si="0"/>
        <v>250593.61681363612</v>
      </c>
      <c r="E28" s="9"/>
      <c r="G28" s="18">
        <v>8</v>
      </c>
      <c r="H28" s="19">
        <v>20518.456125388308</v>
      </c>
      <c r="I28" s="19">
        <v>79244.659623055661</v>
      </c>
      <c r="K28" s="18">
        <v>10</v>
      </c>
      <c r="L28" s="20">
        <v>12946.27058970836</v>
      </c>
    </row>
    <row r="29" spans="1:12" ht="19.2" thickTop="1" thickBot="1" x14ac:dyDescent="0.35">
      <c r="A29" s="9"/>
      <c r="B29" s="2">
        <v>4</v>
      </c>
      <c r="C29" s="8">
        <f>IFERROR(IF(D28&gt;$D$21, (D28*$D$23), ""),"")</f>
        <v>51540.031536887516</v>
      </c>
      <c r="D29" s="14">
        <f t="shared" si="0"/>
        <v>199053.58527674861</v>
      </c>
      <c r="E29" s="9"/>
      <c r="G29" s="18">
        <v>9</v>
      </c>
      <c r="H29" s="19">
        <v>16298.389033347312</v>
      </c>
      <c r="I29" s="19">
        <v>62946.270589708351</v>
      </c>
    </row>
    <row r="30" spans="1:12" ht="19.2" thickTop="1" thickBot="1" x14ac:dyDescent="0.35">
      <c r="A30" s="9"/>
      <c r="B30" s="2">
        <v>5</v>
      </c>
      <c r="C30" s="8">
        <f>IFERROR(IF(D29&gt;$D$21, (D29*$D$23), ""),"")</f>
        <v>40939.70226832966</v>
      </c>
      <c r="D30" s="14">
        <f t="shared" si="0"/>
        <v>158113.88300841895</v>
      </c>
      <c r="E30" s="9"/>
      <c r="G30" s="18">
        <v>10</v>
      </c>
      <c r="H30" s="19">
        <v>12946.27058970836</v>
      </c>
      <c r="I30" s="19">
        <v>49999.999999999993</v>
      </c>
    </row>
    <row r="31" spans="1:12" ht="19.2" thickTop="1" thickBot="1" x14ac:dyDescent="0.35">
      <c r="A31" s="9"/>
      <c r="B31" s="2">
        <v>6</v>
      </c>
      <c r="C31" s="8">
        <f>IFERROR(IF(D30&gt;$D$21, (D30*$D$23), ""),"")</f>
        <v>32519.561432939961</v>
      </c>
      <c r="D31" s="14">
        <f t="shared" si="0"/>
        <v>125594.321575479</v>
      </c>
      <c r="E31" s="9"/>
    </row>
    <row r="32" spans="1:12" ht="19.2" thickTop="1" thickBot="1" x14ac:dyDescent="0.35">
      <c r="A32" s="9"/>
      <c r="B32" s="2">
        <v>7</v>
      </c>
      <c r="C32" s="8">
        <f>IFERROR(IF(D31&gt;$D$21, (D31*$D$23), ""),"")</f>
        <v>25831.205827035024</v>
      </c>
      <c r="D32" s="14">
        <f t="shared" si="0"/>
        <v>99763.115748443975</v>
      </c>
      <c r="E32" s="9"/>
    </row>
    <row r="33" spans="1:9" ht="19.2" thickTop="1" thickBot="1" x14ac:dyDescent="0.35">
      <c r="A33" s="9"/>
      <c r="B33" s="2">
        <v>8</v>
      </c>
      <c r="C33" s="8">
        <f>IFERROR(IF(D32&gt;$D$21, D32*$D$23, ""), "")</f>
        <v>20518.456125388308</v>
      </c>
      <c r="D33" s="14">
        <f>IFERROR(D32 - C33, "")</f>
        <v>79244.659623055661</v>
      </c>
      <c r="E33" s="9"/>
    </row>
    <row r="34" spans="1:9" ht="19.2" thickTop="1" thickBot="1" x14ac:dyDescent="0.35">
      <c r="A34" s="9"/>
      <c r="B34" s="2">
        <v>9</v>
      </c>
      <c r="C34" s="8">
        <f>IFERROR(IF(D33&gt;$D$21, (D33*$D$23), ""),"")</f>
        <v>16298.389033347312</v>
      </c>
      <c r="D34" s="14">
        <f>D33 - C34</f>
        <v>62946.270589708351</v>
      </c>
      <c r="E34" s="9"/>
      <c r="G34" s="18" t="s">
        <v>7</v>
      </c>
      <c r="H34" s="18" t="s">
        <v>37</v>
      </c>
      <c r="I34" s="18" t="s">
        <v>38</v>
      </c>
    </row>
    <row r="35" spans="1:9" ht="19.2" thickTop="1" thickBot="1" x14ac:dyDescent="0.35">
      <c r="A35" s="9"/>
      <c r="B35" s="2">
        <v>10</v>
      </c>
      <c r="C35" s="8">
        <f>IFERROR(IF(D34&gt;$D$21, (D34*$D$23), ""),"")</f>
        <v>12946.27058970836</v>
      </c>
      <c r="D35" s="14">
        <f>IFERROR(D34-C35, "")</f>
        <v>49999.999999999993</v>
      </c>
      <c r="E35" s="9"/>
      <c r="G35" s="18">
        <v>1</v>
      </c>
      <c r="H35" s="20">
        <v>45000</v>
      </c>
      <c r="I35" s="20">
        <v>102835.88263785925</v>
      </c>
    </row>
    <row r="36" spans="1:9" ht="19.2" thickTop="1" thickBot="1" x14ac:dyDescent="0.35">
      <c r="A36" s="9"/>
      <c r="B36" s="2"/>
      <c r="C36" s="8" t="str">
        <f t="shared" ref="C36:C45" si="1">IFERROR(IF(D36&gt;$D$21, (D36*$D$23), ""),"")</f>
        <v/>
      </c>
      <c r="D36" s="8"/>
      <c r="E36" s="9"/>
      <c r="G36" s="18">
        <v>2</v>
      </c>
      <c r="H36" s="20">
        <v>45000</v>
      </c>
      <c r="I36" s="20">
        <v>81685.445122044126</v>
      </c>
    </row>
    <row r="37" spans="1:9" ht="19.2" thickTop="1" thickBot="1" x14ac:dyDescent="0.35">
      <c r="A37" s="9"/>
      <c r="B37" s="2"/>
      <c r="C37" s="8" t="str">
        <f t="shared" si="1"/>
        <v/>
      </c>
      <c r="D37" s="8" t="str">
        <f t="shared" ref="D37:D45" si="2">IFERROR(D36-C36, "")</f>
        <v/>
      </c>
      <c r="E37" s="9"/>
      <c r="G37" s="18">
        <v>3</v>
      </c>
      <c r="H37" s="20">
        <v>45000</v>
      </c>
      <c r="I37" s="20">
        <v>64885.05542646048</v>
      </c>
    </row>
    <row r="38" spans="1:9" ht="19.2" thickTop="1" thickBot="1" x14ac:dyDescent="0.35">
      <c r="A38" s="9"/>
      <c r="B38" s="2"/>
      <c r="C38" s="8" t="str">
        <f t="shared" si="1"/>
        <v/>
      </c>
      <c r="D38" s="8" t="str">
        <f t="shared" si="2"/>
        <v/>
      </c>
      <c r="E38" s="9"/>
      <c r="G38" s="18">
        <v>4</v>
      </c>
      <c r="H38" s="20">
        <v>45000</v>
      </c>
      <c r="I38" s="20">
        <v>51540.031536887516</v>
      </c>
    </row>
    <row r="39" spans="1:9" ht="19.2" thickTop="1" thickBot="1" x14ac:dyDescent="0.35">
      <c r="A39" s="9"/>
      <c r="B39" s="2"/>
      <c r="C39" s="8" t="str">
        <f t="shared" si="1"/>
        <v/>
      </c>
      <c r="D39" s="8" t="str">
        <f t="shared" si="2"/>
        <v/>
      </c>
      <c r="E39" s="9"/>
      <c r="G39" s="18">
        <v>5</v>
      </c>
      <c r="H39" s="20">
        <v>45000</v>
      </c>
      <c r="I39" s="20">
        <v>40939.70226832966</v>
      </c>
    </row>
    <row r="40" spans="1:9" ht="19.2" thickTop="1" thickBot="1" x14ac:dyDescent="0.35">
      <c r="A40" s="9"/>
      <c r="B40" s="2"/>
      <c r="C40" s="8" t="str">
        <f t="shared" si="1"/>
        <v/>
      </c>
      <c r="D40" s="8" t="str">
        <f t="shared" si="2"/>
        <v/>
      </c>
      <c r="E40" s="9"/>
      <c r="G40" s="18">
        <v>6</v>
      </c>
      <c r="H40" s="20">
        <v>45000</v>
      </c>
      <c r="I40" s="20">
        <v>32519.561432939961</v>
      </c>
    </row>
    <row r="41" spans="1:9" ht="19.2" thickTop="1" thickBot="1" x14ac:dyDescent="0.35">
      <c r="A41" s="9"/>
      <c r="B41" s="2"/>
      <c r="C41" s="8" t="str">
        <f t="shared" si="1"/>
        <v/>
      </c>
      <c r="D41" s="8" t="str">
        <f t="shared" si="2"/>
        <v/>
      </c>
      <c r="E41" s="9"/>
      <c r="G41" s="18">
        <v>7</v>
      </c>
      <c r="H41" s="20">
        <v>45000</v>
      </c>
      <c r="I41" s="20">
        <v>25831.205827035024</v>
      </c>
    </row>
    <row r="42" spans="1:9" ht="19.2" thickTop="1" thickBot="1" x14ac:dyDescent="0.35">
      <c r="A42" s="9"/>
      <c r="B42" s="2"/>
      <c r="C42" s="8" t="str">
        <f t="shared" si="1"/>
        <v/>
      </c>
      <c r="D42" s="8" t="str">
        <f t="shared" si="2"/>
        <v/>
      </c>
      <c r="E42" s="9"/>
      <c r="G42" s="18">
        <v>8</v>
      </c>
      <c r="H42" s="20">
        <v>45000</v>
      </c>
      <c r="I42" s="20">
        <v>20518.456125388308</v>
      </c>
    </row>
    <row r="43" spans="1:9" ht="19.2" thickTop="1" thickBot="1" x14ac:dyDescent="0.35">
      <c r="A43" s="9"/>
      <c r="B43" s="2"/>
      <c r="C43" s="8" t="str">
        <f t="shared" si="1"/>
        <v/>
      </c>
      <c r="D43" s="8" t="str">
        <f t="shared" si="2"/>
        <v/>
      </c>
      <c r="E43" s="9"/>
      <c r="G43" s="18">
        <v>9</v>
      </c>
      <c r="H43" s="20">
        <v>45000</v>
      </c>
      <c r="I43" s="20">
        <v>16298.389033347312</v>
      </c>
    </row>
    <row r="44" spans="1:9" ht="19.2" thickTop="1" thickBot="1" x14ac:dyDescent="0.35">
      <c r="A44" s="9"/>
      <c r="B44" s="2"/>
      <c r="C44" s="8" t="str">
        <f t="shared" si="1"/>
        <v/>
      </c>
      <c r="D44" s="8" t="str">
        <f t="shared" si="2"/>
        <v/>
      </c>
      <c r="E44" s="9"/>
      <c r="G44" s="18">
        <v>10</v>
      </c>
      <c r="H44" s="20">
        <v>45000</v>
      </c>
      <c r="I44" s="20">
        <v>12946.27058970836</v>
      </c>
    </row>
    <row r="45" spans="1:9" ht="19.2" thickTop="1" thickBot="1" x14ac:dyDescent="0.35">
      <c r="A45" s="9"/>
      <c r="B45" s="2"/>
      <c r="C45" s="8" t="str">
        <f t="shared" si="1"/>
        <v/>
      </c>
      <c r="D45" s="8" t="str">
        <f t="shared" si="2"/>
        <v/>
      </c>
      <c r="E45" s="9"/>
    </row>
    <row r="46" spans="1:9" ht="18.600000000000001" thickTop="1" x14ac:dyDescent="0.3">
      <c r="A46" s="9"/>
      <c r="B46" s="9"/>
      <c r="C46" s="9"/>
      <c r="D46" s="9"/>
      <c r="E46" s="9"/>
    </row>
    <row r="50" spans="2:10" ht="22.8" x14ac:dyDescent="0.3">
      <c r="B50" s="34"/>
      <c r="C50" s="34"/>
      <c r="D50" s="34"/>
    </row>
    <row r="51" spans="2:10" ht="22.8" x14ac:dyDescent="0.3">
      <c r="B51" s="34"/>
      <c r="C51" s="34"/>
      <c r="D51" s="34"/>
      <c r="G51" s="17" t="s">
        <v>7</v>
      </c>
      <c r="H51" s="17" t="s">
        <v>3</v>
      </c>
    </row>
    <row r="52" spans="2:10" x14ac:dyDescent="0.3">
      <c r="B52" s="13"/>
      <c r="C52" s="13"/>
      <c r="D52" s="13"/>
      <c r="G52" s="18">
        <v>1</v>
      </c>
      <c r="H52" s="19">
        <v>397164.11736214074</v>
      </c>
      <c r="J52" s="15"/>
    </row>
    <row r="53" spans="2:10" x14ac:dyDescent="0.3">
      <c r="G53" s="18">
        <v>2</v>
      </c>
      <c r="H53" s="19">
        <v>315478.67224009661</v>
      </c>
      <c r="J53" s="15"/>
    </row>
    <row r="54" spans="2:10" x14ac:dyDescent="0.3">
      <c r="G54" s="18">
        <v>3</v>
      </c>
      <c r="H54" s="19">
        <v>250593.61681363612</v>
      </c>
      <c r="J54" s="15"/>
    </row>
    <row r="55" spans="2:10" x14ac:dyDescent="0.3">
      <c r="G55" s="18">
        <v>4</v>
      </c>
      <c r="H55" s="19">
        <v>199053.58527674861</v>
      </c>
      <c r="J55" s="15"/>
    </row>
    <row r="56" spans="2:10" x14ac:dyDescent="0.3">
      <c r="G56" s="18">
        <v>5</v>
      </c>
      <c r="H56" s="19">
        <v>158113.88300841895</v>
      </c>
      <c r="J56" s="15"/>
    </row>
    <row r="57" spans="2:10" x14ac:dyDescent="0.3">
      <c r="G57" s="18">
        <v>6</v>
      </c>
      <c r="H57" s="19">
        <v>125594.321575479</v>
      </c>
      <c r="J57" s="15"/>
    </row>
    <row r="58" spans="2:10" x14ac:dyDescent="0.3">
      <c r="G58" s="18">
        <v>7</v>
      </c>
      <c r="H58" s="19">
        <v>99763.115748443975</v>
      </c>
      <c r="J58" s="15"/>
    </row>
    <row r="59" spans="2:10" x14ac:dyDescent="0.3">
      <c r="G59" s="18">
        <v>8</v>
      </c>
      <c r="H59" s="19">
        <v>79244.659623055661</v>
      </c>
      <c r="J59" s="15"/>
    </row>
    <row r="60" spans="2:10" x14ac:dyDescent="0.3">
      <c r="G60" s="18">
        <v>9</v>
      </c>
      <c r="H60" s="19">
        <v>62946.270589708351</v>
      </c>
      <c r="J60" s="15"/>
    </row>
    <row r="61" spans="2:10" x14ac:dyDescent="0.3">
      <c r="G61" s="18">
        <v>10</v>
      </c>
      <c r="H61" s="19">
        <v>49999.999999999993</v>
      </c>
      <c r="J61" s="15"/>
    </row>
    <row r="67" spans="9:9" x14ac:dyDescent="0.3">
      <c r="I67" s="15"/>
    </row>
    <row r="68" spans="9:9" x14ac:dyDescent="0.3">
      <c r="I68" s="15"/>
    </row>
    <row r="69" spans="9:9" x14ac:dyDescent="0.3">
      <c r="I69" s="15"/>
    </row>
    <row r="70" spans="9:9" x14ac:dyDescent="0.3">
      <c r="I70" s="15"/>
    </row>
    <row r="71" spans="9:9" x14ac:dyDescent="0.3">
      <c r="I71" s="15"/>
    </row>
    <row r="72" spans="9:9" x14ac:dyDescent="0.3">
      <c r="I72" s="15"/>
    </row>
    <row r="73" spans="9:9" x14ac:dyDescent="0.3">
      <c r="I73" s="15"/>
    </row>
    <row r="74" spans="9:9" x14ac:dyDescent="0.3">
      <c r="I74" s="15"/>
    </row>
    <row r="75" spans="9:9" x14ac:dyDescent="0.3">
      <c r="I75" s="15"/>
    </row>
    <row r="76" spans="9:9" x14ac:dyDescent="0.3">
      <c r="I76" s="15"/>
    </row>
    <row r="83" spans="8:9" x14ac:dyDescent="0.3">
      <c r="H83" s="16"/>
    </row>
    <row r="84" spans="8:9" x14ac:dyDescent="0.3">
      <c r="H84" s="16"/>
    </row>
    <row r="85" spans="8:9" x14ac:dyDescent="0.3">
      <c r="H85" s="16"/>
    </row>
    <row r="86" spans="8:9" x14ac:dyDescent="0.3">
      <c r="H86" s="16"/>
    </row>
    <row r="87" spans="8:9" x14ac:dyDescent="0.3">
      <c r="H87" s="16"/>
    </row>
    <row r="88" spans="8:9" x14ac:dyDescent="0.3">
      <c r="H88" s="16"/>
      <c r="I88" s="1" t="b">
        <f>ISNUMBER(H83)</f>
        <v>0</v>
      </c>
    </row>
    <row r="89" spans="8:9" x14ac:dyDescent="0.3">
      <c r="H89" s="16"/>
    </row>
    <row r="90" spans="8:9" x14ac:dyDescent="0.3">
      <c r="H90" s="16"/>
    </row>
    <row r="91" spans="8:9" x14ac:dyDescent="0.3">
      <c r="H91" s="16"/>
    </row>
    <row r="92" spans="8:9" x14ac:dyDescent="0.3">
      <c r="H92" s="16"/>
    </row>
  </sheetData>
  <mergeCells count="28">
    <mergeCell ref="B50:D50"/>
    <mergeCell ref="B51:D51"/>
    <mergeCell ref="B23:C23"/>
    <mergeCell ref="B24:D24"/>
    <mergeCell ref="B12:C12"/>
    <mergeCell ref="B18:C18"/>
    <mergeCell ref="B19:C19"/>
    <mergeCell ref="B20:C20"/>
    <mergeCell ref="B21:C21"/>
    <mergeCell ref="B22:C22"/>
    <mergeCell ref="C2:D2"/>
    <mergeCell ref="C3:D3"/>
    <mergeCell ref="B2:B3"/>
    <mergeCell ref="B6:C6"/>
    <mergeCell ref="B7:C7"/>
    <mergeCell ref="B5:D5"/>
    <mergeCell ref="G3:I3"/>
    <mergeCell ref="G4:I4"/>
    <mergeCell ref="G18:I18"/>
    <mergeCell ref="G19:I19"/>
    <mergeCell ref="B8:C8"/>
    <mergeCell ref="B9:C9"/>
    <mergeCell ref="B10:C10"/>
    <mergeCell ref="B17:D17"/>
    <mergeCell ref="B11:C11"/>
    <mergeCell ref="B13:C13"/>
    <mergeCell ref="B14:C14"/>
    <mergeCell ref="B15:C15"/>
  </mergeCells>
  <phoneticPr fontId="12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portrait" horizont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02BB0-3047-437A-9DE7-3B19381ADC38}">
  <dimension ref="A1:C10"/>
  <sheetViews>
    <sheetView workbookViewId="0">
      <selection activeCell="A13" sqref="A13"/>
    </sheetView>
  </sheetViews>
  <sheetFormatPr defaultRowHeight="14.4" x14ac:dyDescent="0.3"/>
  <cols>
    <col min="1" max="1" width="32" customWidth="1"/>
    <col min="2" max="2" width="18.33203125" customWidth="1"/>
    <col min="3" max="3" width="65.77734375" customWidth="1"/>
  </cols>
  <sheetData>
    <row r="1" spans="1:3" x14ac:dyDescent="0.3">
      <c r="A1" s="21" t="s">
        <v>40</v>
      </c>
      <c r="B1" s="21" t="s">
        <v>20</v>
      </c>
      <c r="C1" s="21" t="s">
        <v>21</v>
      </c>
    </row>
    <row r="2" spans="1:3" x14ac:dyDescent="0.3">
      <c r="A2" t="s">
        <v>19</v>
      </c>
      <c r="B2">
        <f>('Depreciation Calculator'!D6+'Depreciation Calculator'!D7-'Depreciation Calculator'!D9)/'Depreciation Calculator'!D10</f>
        <v>45000</v>
      </c>
      <c r="C2" t="s">
        <v>22</v>
      </c>
    </row>
    <row r="3" spans="1:3" x14ac:dyDescent="0.3">
      <c r="A3" t="s">
        <v>32</v>
      </c>
      <c r="B3">
        <f>('Depreciation Calculator'!D6+'Depreciation Calculator'!D7-'Depreciation Calculator'!D9)</f>
        <v>450000</v>
      </c>
      <c r="C3" t="s">
        <v>23</v>
      </c>
    </row>
    <row r="4" spans="1:3" ht="16.2" customHeight="1" x14ac:dyDescent="0.3">
      <c r="A4" t="s">
        <v>24</v>
      </c>
      <c r="B4">
        <f>'Depreciation Calculator'!D14</f>
        <v>50000</v>
      </c>
    </row>
    <row r="5" spans="1:3" x14ac:dyDescent="0.3">
      <c r="A5" t="s">
        <v>25</v>
      </c>
      <c r="B5" s="12">
        <f>'Depreciation Calculator'!D23</f>
        <v>0.20567176527571851</v>
      </c>
      <c r="C5" t="s">
        <v>26</v>
      </c>
    </row>
    <row r="6" spans="1:3" x14ac:dyDescent="0.3">
      <c r="A6" t="s">
        <v>27</v>
      </c>
      <c r="B6">
        <f>'Depreciation Calculator'!D26*'Depreciation Calculator'!D23</f>
        <v>81685.445122044126</v>
      </c>
      <c r="C6" t="s">
        <v>30</v>
      </c>
    </row>
    <row r="7" spans="1:3" x14ac:dyDescent="0.3">
      <c r="A7" t="s">
        <v>28</v>
      </c>
      <c r="B7">
        <f>'Depreciation Calculator'!D28-'Depreciation Calculator'!C29</f>
        <v>199053.58527674861</v>
      </c>
      <c r="C7" t="s">
        <v>29</v>
      </c>
    </row>
    <row r="8" spans="1:3" x14ac:dyDescent="0.3">
      <c r="A8" t="s">
        <v>31</v>
      </c>
      <c r="B8">
        <f>SUM('Depreciation Calculator'!C26:C35)</f>
        <v>450000</v>
      </c>
      <c r="C8" t="s">
        <v>34</v>
      </c>
    </row>
    <row r="9" spans="1:3" x14ac:dyDescent="0.3">
      <c r="A9" t="s">
        <v>33</v>
      </c>
      <c r="B9">
        <f>'Depreciation Calculator'!D21</f>
        <v>50000</v>
      </c>
      <c r="C9" t="s">
        <v>1</v>
      </c>
    </row>
    <row r="10" spans="1:3" x14ac:dyDescent="0.3">
      <c r="A10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E3040-EC1A-4FE5-814C-D09C5F74AB84}">
  <dimension ref="D1:Q12"/>
  <sheetViews>
    <sheetView tabSelected="1" zoomScale="86" workbookViewId="0">
      <selection activeCell="W12" sqref="W12"/>
    </sheetView>
  </sheetViews>
  <sheetFormatPr defaultRowHeight="14.4" x14ac:dyDescent="0.3"/>
  <sheetData>
    <row r="1" spans="4:17" ht="14.4" customHeight="1" x14ac:dyDescent="0.3">
      <c r="F1" s="23" t="s">
        <v>42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4:17" ht="14.4" customHeight="1" x14ac:dyDescent="0.3"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4:17" ht="14.4" customHeight="1" x14ac:dyDescent="0.3"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12" spans="4:17" ht="25.8" x14ac:dyDescent="0.5">
      <c r="D12" s="22"/>
    </row>
  </sheetData>
  <mergeCells count="1">
    <mergeCell ref="F1:Q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Depreciation Calculator</vt:lpstr>
      <vt:lpstr>Analysis</vt:lpstr>
      <vt:lpstr>Dashboard</vt:lpstr>
      <vt:lpstr>AssetP</vt:lpstr>
      <vt:lpstr>AssetPrice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Fahim;ExcelDataPro</dc:creator>
  <cp:keywords>Depreciation Calculator Excel Template;www.ExcelDataPro.com</cp:keywords>
  <cp:lastModifiedBy>Tina Thomas</cp:lastModifiedBy>
  <cp:lastPrinted>2019-12-30T11:34:18Z</cp:lastPrinted>
  <dcterms:created xsi:type="dcterms:W3CDTF">2019-12-30T10:28:43Z</dcterms:created>
  <dcterms:modified xsi:type="dcterms:W3CDTF">2026-07-02T18:25:00Z</dcterms:modified>
</cp:coreProperties>
</file>